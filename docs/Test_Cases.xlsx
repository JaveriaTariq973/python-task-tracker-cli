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s PC\python-task-tracker-cli\docs\"/>
    </mc:Choice>
  </mc:AlternateContent>
  <bookViews>
    <workbookView xWindow="0" yWindow="0" windowWidth="17256" windowHeight="5724" tabRatio="500"/>
  </bookViews>
  <sheets>
    <sheet name="Test Cases" sheetId="1" r:id="rId1"/>
    <sheet name="Summary" sheetId="2" r:id="rId2"/>
    <sheet name="Data Files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B4" i="2"/>
  <c r="B3" i="2"/>
</calcChain>
</file>

<file path=xl/sharedStrings.xml><?xml version="1.0" encoding="utf-8"?>
<sst xmlns="http://schemas.openxmlformats.org/spreadsheetml/2006/main" count="175" uniqueCount="101">
  <si>
    <t>TC ID</t>
  </si>
  <si>
    <t>Module</t>
  </si>
  <si>
    <t>Function</t>
  </si>
  <si>
    <t>Technique</t>
  </si>
  <si>
    <t>Test Data Source (CSV)</t>
  </si>
  <si>
    <t>Data Row IDs</t>
  </si>
  <si>
    <t>Test Input</t>
  </si>
  <si>
    <t>Expected Result</t>
  </si>
  <si>
    <t>Priority</t>
  </si>
  <si>
    <t>Automated Test</t>
  </si>
  <si>
    <t>Status</t>
  </si>
  <si>
    <t>TC-01</t>
  </si>
  <si>
    <t>storage</t>
  </si>
  <si>
    <t>generate_next_id</t>
  </si>
  <si>
    <t>BVA</t>
  </si>
  <si>
    <t>tests/data/next_id_cases.csv</t>
  </si>
  <si>
    <t>nid_empty</t>
  </si>
  <si>
    <t>Empty list</t>
  </si>
  <si>
    <t>Returns 1</t>
  </si>
  <si>
    <t>High</t>
  </si>
  <si>
    <t>test_csv_generate_next_id</t>
  </si>
  <si>
    <t>Not Run</t>
  </si>
  <si>
    <t>TC-02</t>
  </si>
  <si>
    <t>services</t>
  </si>
  <si>
    <t>nid_two_to_three_digits</t>
  </si>
  <si>
    <t>Task list with id 99</t>
  </si>
  <si>
    <t>Returns 100</t>
  </si>
  <si>
    <t>Medium</t>
  </si>
  <si>
    <t>TC-03</t>
  </si>
  <si>
    <t>ECP</t>
  </si>
  <si>
    <t>nid_gaps_unordered</t>
  </si>
  <si>
    <t>Ids 1, 5, 3 (gaps, unordered)</t>
  </si>
  <si>
    <t>Returns 6</t>
  </si>
  <si>
    <t>TC-04</t>
  </si>
  <si>
    <t>list_tasks</t>
  </si>
  <si>
    <t>ECP (valid class)</t>
  </si>
  <si>
    <t>tests/data/list_status_cases.csv</t>
  </si>
  <si>
    <t>ls_todo / ls_in_progress / ls_done</t>
  </si>
  <si>
    <t>Each valid status</t>
  </si>
  <si>
    <t>Returns a list without error</t>
  </si>
  <si>
    <t>test_csv_list_tasks_status_filter</t>
  </si>
  <si>
    <t>TC-05</t>
  </si>
  <si>
    <t>ECP (invalid class)</t>
  </si>
  <si>
    <t>ls_wrong_word / ls_uppercase / ls_mixed_case / ls_empty</t>
  </si>
  <si>
    <t>Invalid status values</t>
  </si>
  <si>
    <t>Raises ValueError (inválido)</t>
  </si>
  <si>
    <t>TC-06</t>
  </si>
  <si>
    <t>change_task_status</t>
  </si>
  <si>
    <t>tests/data/change_status_cases.csv</t>
  </si>
  <si>
    <t>cs_todo / cs_in_progress / cs_done</t>
  </si>
  <si>
    <t>Task 1 changed to each valid status</t>
  </si>
  <si>
    <t>Status of task 1 is updated</t>
  </si>
  <si>
    <t>test_csv_change_task_status</t>
  </si>
  <si>
    <t>TC-07</t>
  </si>
  <si>
    <t>cs_bad_status / cs_bad_status_uppercase</t>
  </si>
  <si>
    <t>Invalid status on existing task</t>
  </si>
  <si>
    <t>TC-08</t>
  </si>
  <si>
    <t>cs_id_zero / cs_id_negative / cs_id_too_big</t>
  </si>
  <si>
    <t>Ids outside valid range</t>
  </si>
  <si>
    <t>Raises ValueError (No existe)</t>
  </si>
  <si>
    <t>TC-09</t>
  </si>
  <si>
    <t>Error guessing</t>
  </si>
  <si>
    <t>cs_both_invalid</t>
  </si>
  <si>
    <t>Invalid id and invalid status together</t>
  </si>
  <si>
    <t>Status error is reported first</t>
  </si>
  <si>
    <t>Low</t>
  </si>
  <si>
    <t>TC-10</t>
  </si>
  <si>
    <t>cli</t>
  </si>
  <si>
    <t>handle_command</t>
  </si>
  <si>
    <t>tests/data/cli_cases.csv</t>
  </si>
  <si>
    <t>cli_no_args / cli_unknown_foo / cli_unknown_upper</t>
  </si>
  <si>
    <t>No command and unknown commands</t>
  </si>
  <si>
    <t>Correct error message printed</t>
  </si>
  <si>
    <t>test_csv_cli_commands</t>
  </si>
  <si>
    <t>TC-11</t>
  </si>
  <si>
    <t>cli_add_ok / cli_add_missing_description</t>
  </si>
  <si>
    <t>add with and without description</t>
  </si>
  <si>
    <t>Success message or usage message</t>
  </si>
  <si>
    <t>TC-12</t>
  </si>
  <si>
    <t>ECP / BVA</t>
  </si>
  <si>
    <t>cli_list_empty / cli_list_invalid_status</t>
  </si>
  <si>
    <t>list on empty file and with bad status</t>
  </si>
  <si>
    <t>Empty message or invalid status error</t>
  </si>
  <si>
    <t>TC-13</t>
  </si>
  <si>
    <t>Negative</t>
  </si>
  <si>
    <t>cli_delete_missing_id / cli_delete_nonexistent / cli_update_missing_args / cli_mark_done_missing_id</t>
  </si>
  <si>
    <t>Missing arguments and nonexistent id</t>
  </si>
  <si>
    <t>Usage message or No existe error</t>
  </si>
  <si>
    <t>Test Execution Summary</t>
  </si>
  <si>
    <t>Total test cases</t>
  </si>
  <si>
    <t>Pass</t>
  </si>
  <si>
    <t>Fail</t>
  </si>
  <si>
    <t>Update the Status column in 'Test Cases' (Pass / Fail / Not Run), the counts above update automatically.</t>
  </si>
  <si>
    <t>CSV file</t>
  </si>
  <si>
    <t>Used by</t>
  </si>
  <si>
    <t>Columns</t>
  </si>
  <si>
    <t>test_id, ids, expected</t>
  </si>
  <si>
    <t>test_id, status, expected</t>
  </si>
  <si>
    <t>test_id, task_id, status, expected</t>
  </si>
  <si>
    <t>test_id, args, match, expected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</si>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</sst>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5"/>
        <bgColor rgb="FF003366"/>
      </patternFill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2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topLeftCell="E1" zoomScaleNormal="100" workbookViewId="0">
      <pane ySplit="1" topLeftCell="A5" activePane="bottomLeft" state="frozen"/>
      <selection pane="bottomLeft" activeCell="G1" sqref="G1"/>
    </sheetView>
  </sheetViews>
  <sheetFormatPr defaultColWidth="8.6640625" defaultRowHeight="14.4" x14ac:dyDescent="0.3"/>
  <cols>
    <col min="1" max="1" width="8" customWidth="1"/>
    <col min="2" max="2" width="11" customWidth="1"/>
    <col min="3" max="3" width="20" customWidth="1"/>
    <col min="4" max="4" width="18" customWidth="1"/>
    <col min="5" max="5" width="32" customWidth="1"/>
    <col min="6" max="6" width="42" customWidth="1"/>
    <col min="7" max="7" width="38" customWidth="1"/>
    <col min="8" max="8" width="34" customWidth="1"/>
    <col min="9" max="9" width="10" customWidth="1"/>
    <col min="10" max="10" width="34" customWidth="1"/>
    <col min="11" max="11" width="1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9" t="s">
        <v>8</v>
      </c>
      <c r="J1" s="11" t="s">
        <v>9</v>
      </c>
      <c r="K1" s="9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100</v>
      </c>
    </row>
    <row r="3" spans="1:11" x14ac:dyDescent="0.3">
      <c r="A3" s="2" t="s">
        <v>22</v>
      </c>
      <c r="B3" s="2" t="s">
        <v>23</v>
      </c>
      <c r="C3" s="2" t="s">
        <v>13</v>
      </c>
      <c r="D3" s="2" t="s">
        <v>14</v>
      </c>
      <c r="E3" s="2" t="s">
        <v>15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20</v>
      </c>
      <c r="K3" s="2" t="s">
        <v>100</v>
      </c>
    </row>
    <row r="4" spans="1:11" x14ac:dyDescent="0.3">
      <c r="A4" s="2" t="s">
        <v>28</v>
      </c>
      <c r="B4" s="2" t="s">
        <v>23</v>
      </c>
      <c r="C4" s="2" t="s">
        <v>13</v>
      </c>
      <c r="D4" s="2" t="s">
        <v>29</v>
      </c>
      <c r="E4" s="2" t="s">
        <v>15</v>
      </c>
      <c r="F4" s="2" t="s">
        <v>30</v>
      </c>
      <c r="G4" s="2" t="s">
        <v>31</v>
      </c>
      <c r="H4" s="2" t="s">
        <v>32</v>
      </c>
      <c r="I4" s="2" t="s">
        <v>27</v>
      </c>
      <c r="J4" s="2" t="s">
        <v>20</v>
      </c>
      <c r="K4" s="2" t="s">
        <v>100</v>
      </c>
    </row>
    <row r="5" spans="1:11" x14ac:dyDescent="0.3">
      <c r="A5" s="2" t="s">
        <v>33</v>
      </c>
      <c r="B5" s="2" t="s">
        <v>23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19</v>
      </c>
      <c r="J5" s="2" t="s">
        <v>40</v>
      </c>
      <c r="K5" s="2" t="s">
        <v>100</v>
      </c>
    </row>
    <row r="6" spans="1:11" ht="26.4" x14ac:dyDescent="0.3">
      <c r="A6" s="2" t="s">
        <v>41</v>
      </c>
      <c r="B6" s="2" t="s">
        <v>23</v>
      </c>
      <c r="C6" s="2" t="s">
        <v>34</v>
      </c>
      <c r="D6" s="2" t="s">
        <v>42</v>
      </c>
      <c r="E6" s="2" t="s">
        <v>36</v>
      </c>
      <c r="F6" s="2" t="s">
        <v>43</v>
      </c>
      <c r="G6" s="2" t="s">
        <v>44</v>
      </c>
      <c r="H6" s="2" t="s">
        <v>45</v>
      </c>
      <c r="I6" s="2" t="s">
        <v>19</v>
      </c>
      <c r="J6" s="2" t="s">
        <v>40</v>
      </c>
      <c r="K6" s="2" t="s">
        <v>100</v>
      </c>
    </row>
    <row r="7" spans="1:11" x14ac:dyDescent="0.3">
      <c r="A7" s="2" t="s">
        <v>46</v>
      </c>
      <c r="B7" s="2" t="s">
        <v>23</v>
      </c>
      <c r="C7" s="2" t="s">
        <v>47</v>
      </c>
      <c r="D7" s="2" t="s">
        <v>35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19</v>
      </c>
      <c r="J7" s="2" t="s">
        <v>52</v>
      </c>
      <c r="K7" s="2" t="s">
        <v>100</v>
      </c>
    </row>
    <row r="8" spans="1:11" x14ac:dyDescent="0.3">
      <c r="A8" s="2" t="s">
        <v>53</v>
      </c>
      <c r="B8" s="2" t="s">
        <v>23</v>
      </c>
      <c r="C8" s="2" t="s">
        <v>47</v>
      </c>
      <c r="D8" s="2" t="s">
        <v>42</v>
      </c>
      <c r="E8" s="2" t="s">
        <v>48</v>
      </c>
      <c r="F8" s="2" t="s">
        <v>54</v>
      </c>
      <c r="G8" s="2" t="s">
        <v>55</v>
      </c>
      <c r="H8" s="2" t="s">
        <v>45</v>
      </c>
      <c r="I8" s="2" t="s">
        <v>19</v>
      </c>
      <c r="J8" s="2" t="s">
        <v>52</v>
      </c>
      <c r="K8" s="2" t="s">
        <v>100</v>
      </c>
    </row>
    <row r="9" spans="1:11" x14ac:dyDescent="0.3">
      <c r="A9" s="2" t="s">
        <v>56</v>
      </c>
      <c r="B9" s="2" t="s">
        <v>23</v>
      </c>
      <c r="C9" s="2" t="s">
        <v>47</v>
      </c>
      <c r="D9" s="2" t="s">
        <v>14</v>
      </c>
      <c r="E9" s="2" t="s">
        <v>48</v>
      </c>
      <c r="F9" s="2" t="s">
        <v>57</v>
      </c>
      <c r="G9" s="2" t="s">
        <v>58</v>
      </c>
      <c r="H9" s="2" t="s">
        <v>59</v>
      </c>
      <c r="I9" s="2" t="s">
        <v>19</v>
      </c>
      <c r="J9" s="2" t="s">
        <v>52</v>
      </c>
      <c r="K9" s="2" t="s">
        <v>100</v>
      </c>
    </row>
    <row r="10" spans="1:11" x14ac:dyDescent="0.3">
      <c r="A10" s="2" t="s">
        <v>60</v>
      </c>
      <c r="B10" s="2" t="s">
        <v>23</v>
      </c>
      <c r="C10" s="2" t="s">
        <v>47</v>
      </c>
      <c r="D10" s="2" t="s">
        <v>61</v>
      </c>
      <c r="E10" s="2" t="s">
        <v>48</v>
      </c>
      <c r="F10" s="2" t="s">
        <v>62</v>
      </c>
      <c r="G10" s="2" t="s">
        <v>63</v>
      </c>
      <c r="H10" s="2" t="s">
        <v>64</v>
      </c>
      <c r="I10" s="2" t="s">
        <v>65</v>
      </c>
      <c r="J10" s="2" t="s">
        <v>52</v>
      </c>
      <c r="K10" s="2" t="s">
        <v>100</v>
      </c>
    </row>
    <row r="11" spans="1:11" ht="26.4" x14ac:dyDescent="0.3">
      <c r="A11" s="2" t="s">
        <v>66</v>
      </c>
      <c r="B11" s="2" t="s">
        <v>67</v>
      </c>
      <c r="C11" s="2" t="s">
        <v>68</v>
      </c>
      <c r="D11" s="2" t="s">
        <v>29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19</v>
      </c>
      <c r="J11" s="2" t="s">
        <v>73</v>
      </c>
      <c r="K11" s="2" t="s">
        <v>100</v>
      </c>
    </row>
    <row r="12" spans="1:11" x14ac:dyDescent="0.3">
      <c r="A12" s="2" t="s">
        <v>74</v>
      </c>
      <c r="B12" s="2" t="s">
        <v>67</v>
      </c>
      <c r="C12" s="2" t="s">
        <v>68</v>
      </c>
      <c r="D12" s="2" t="s">
        <v>29</v>
      </c>
      <c r="E12" s="2" t="s">
        <v>69</v>
      </c>
      <c r="F12" s="2" t="s">
        <v>75</v>
      </c>
      <c r="G12" s="2" t="s">
        <v>76</v>
      </c>
      <c r="H12" s="2" t="s">
        <v>77</v>
      </c>
      <c r="I12" s="2" t="s">
        <v>19</v>
      </c>
      <c r="J12" s="2" t="s">
        <v>73</v>
      </c>
      <c r="K12" s="2" t="s">
        <v>100</v>
      </c>
    </row>
    <row r="13" spans="1:11" x14ac:dyDescent="0.3">
      <c r="A13" s="2" t="s">
        <v>78</v>
      </c>
      <c r="B13" s="2" t="s">
        <v>67</v>
      </c>
      <c r="C13" s="2" t="s">
        <v>68</v>
      </c>
      <c r="D13" s="2" t="s">
        <v>79</v>
      </c>
      <c r="E13" s="2" t="s">
        <v>69</v>
      </c>
      <c r="F13" s="2" t="s">
        <v>80</v>
      </c>
      <c r="G13" s="2" t="s">
        <v>81</v>
      </c>
      <c r="H13" s="2" t="s">
        <v>82</v>
      </c>
      <c r="I13" s="2" t="s">
        <v>27</v>
      </c>
      <c r="J13" s="2" t="s">
        <v>73</v>
      </c>
      <c r="K13" s="2" t="s">
        <v>100</v>
      </c>
    </row>
    <row r="14" spans="1:11" ht="39.6" x14ac:dyDescent="0.3">
      <c r="A14" s="2" t="s">
        <v>83</v>
      </c>
      <c r="B14" s="2" t="s">
        <v>67</v>
      </c>
      <c r="C14" s="2" t="s">
        <v>68</v>
      </c>
      <c r="D14" s="2" t="s">
        <v>84</v>
      </c>
      <c r="E14" s="2" t="s">
        <v>69</v>
      </c>
      <c r="F14" s="2" t="s">
        <v>85</v>
      </c>
      <c r="G14" s="2" t="s">
        <v>86</v>
      </c>
      <c r="H14" s="2" t="s">
        <v>87</v>
      </c>
      <c r="I14" s="2" t="s">
        <v>27</v>
      </c>
      <c r="J14" s="2" t="s">
        <v>73</v>
      </c>
      <c r="K14" s="2" t="s">
        <v>100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2" customWidth="1"/>
  </cols>
  <sheetData>
    <row r="1" spans="1:2" ht="16.8" x14ac:dyDescent="0.3">
      <c r="A1" s="3" t="s">
        <v>88</v>
      </c>
    </row>
    <row r="3" spans="1:2" x14ac:dyDescent="0.3">
      <c r="A3" s="4" t="s">
        <v>89</v>
      </c>
      <c r="B3" s="5">
        <f>COUNTA('Test Cases'!A2:A14)</f>
        <v>13</v>
      </c>
    </row>
    <row r="4" spans="1:2" x14ac:dyDescent="0.3">
      <c r="A4" s="4" t="s">
        <v>90</v>
      </c>
      <c r="B4" s="5">
        <f>COUNTIF('Test Cases'!K2:K14,"Pass")</f>
        <v>13</v>
      </c>
    </row>
    <row r="5" spans="1:2" x14ac:dyDescent="0.3">
      <c r="A5" s="4" t="s">
        <v>91</v>
      </c>
      <c r="B5" s="5">
        <f>COUNTIF('Test Cases'!K2:K14,"Fail")</f>
        <v>0</v>
      </c>
    </row>
    <row r="6" spans="1:2" x14ac:dyDescent="0.3">
      <c r="A6" s="4" t="s">
        <v>21</v>
      </c>
      <c r="B6" s="5">
        <f>COUNTIF('Test Cases'!K2:K14,"Not Run")</f>
        <v>0</v>
      </c>
    </row>
    <row r="8" spans="1:2" x14ac:dyDescent="0.3">
      <c r="A8" s="6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Normal="100" workbookViewId="0"/>
  </sheetViews>
  <sheetFormatPr defaultColWidth="8.6640625" defaultRowHeight="14.4" x14ac:dyDescent="0.3"/>
  <cols>
    <col min="1" max="1" width="36" customWidth="1"/>
    <col min="2" max="2" width="38" customWidth="1"/>
    <col min="3" max="3" width="40" customWidth="1"/>
  </cols>
  <sheetData>
    <row r="1" spans="1:3" x14ac:dyDescent="0.3">
      <c r="A1" s="7" t="s">
        <v>93</v>
      </c>
      <c r="B1" s="7" t="s">
        <v>94</v>
      </c>
      <c r="C1" s="7" t="s">
        <v>95</v>
      </c>
    </row>
    <row r="2" spans="1:3" x14ac:dyDescent="0.3">
      <c r="A2" s="8" t="s">
        <v>15</v>
      </c>
      <c r="B2" s="8" t="s">
        <v>20</v>
      </c>
      <c r="C2" s="8" t="s">
        <v>96</v>
      </c>
    </row>
    <row r="3" spans="1:3" x14ac:dyDescent="0.3">
      <c r="A3" s="8" t="s">
        <v>36</v>
      </c>
      <c r="B3" s="8" t="s">
        <v>40</v>
      </c>
      <c r="C3" s="8" t="s">
        <v>97</v>
      </c>
    </row>
    <row r="4" spans="1:3" x14ac:dyDescent="0.3">
      <c r="A4" s="8" t="s">
        <v>48</v>
      </c>
      <c r="B4" s="8" t="s">
        <v>52</v>
      </c>
      <c r="C4" s="8" t="s">
        <v>98</v>
      </c>
    </row>
    <row r="5" spans="1:3" x14ac:dyDescent="0.3">
      <c r="A5" s="8" t="s">
        <v>69</v>
      </c>
      <c r="B5" s="8" t="s">
        <v>73</v>
      </c>
      <c r="C5" s="8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Data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This PC</cp:lastModifiedBy>
  <cp:revision>0</cp:revision>
  <dcterms:created xsi:type="dcterms:W3CDTF">2026-10-23T13:42:10Z</dcterms:created>
  <dcterms:modified xsi:type="dcterms:W3CDTF">2026-10-23T14:32:56Z</dcterms:modified>
  <dc:language>en-US</dc:language>
</cp:coreProperties>
</file>